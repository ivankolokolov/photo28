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ia/Desktop/28 ПЕЧАТЬ/003_Бот /"/>
    </mc:Choice>
  </mc:AlternateContent>
  <xr:revisionPtr revIDLastSave="0" documentId="13_ncr:1_{23BA1F3A-0C2B-9443-8582-EC98D430D693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РАСЧЕТ СТОИМОСТИ" sheetId="3" r:id="rId1"/>
    <sheet name="Контактные данные клиентов и ДР" sheetId="8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 a="1"/>
  <c r="E19" i="3" s="1"/>
  <c r="E17" i="3"/>
  <c r="E16" i="3"/>
  <c r="E15" i="3"/>
  <c r="B13" i="3"/>
  <c r="B2" i="3" l="1"/>
  <c r="B5" i="3" s="1"/>
  <c r="B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<sst xmlns="http://schemas.openxmlformats.org/spreadsheetml/2006/main" count="17" uniqueCount="13">
  <si>
    <t>Итоговая стоимость всех форматов</t>
  </si>
  <si>
    <t>Предварительно к оплате:</t>
  </si>
  <si>
    <t>Скидка+/наценка- клиента</t>
  </si>
  <si>
    <t>Доставка</t>
  </si>
  <si>
    <t>ИТОГО за фотографии</t>
  </si>
  <si>
    <t>ИТОГО к оплате</t>
  </si>
  <si>
    <t>Классика 10х15</t>
  </si>
  <si>
    <t>Полароид, половинка 7,6х10</t>
  </si>
  <si>
    <t>Количество фото</t>
  </si>
  <si>
    <t>Стоимость</t>
  </si>
  <si>
    <t>Кол-во</t>
  </si>
  <si>
    <t>Итог</t>
  </si>
  <si>
    <r>
      <t xml:space="preserve">Предупреждение, если клиент заказал следующий объем: 26, 27, 46, 47, 49, 94, 95, 96, 97, 98, 99, и далее 126, 127, 147, 149, 194, 195, 196, 197, 198, 199, 226.. 
</t>
    </r>
    <r>
      <rPr>
        <b/>
        <sz val="10"/>
        <color rgb="FF000000"/>
        <rFont val="Arial"/>
        <family val="2"/>
        <scheme val="minor"/>
      </rPr>
      <t xml:space="preserve">Рекомендуем заказать набор (28, 50, 100, 128, 150…) фото - это будет дешевле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</si>
</sst>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rgb="FFB7B7B7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EDA"/>
        <bgColor rgb="FFFFFEDA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2" fillId="2" borderId="1" xfId="0" applyFont="1" applyFill="1" applyBorder="1"/>
    <xf numFmtId="1" fontId="3" fillId="2" borderId="1" xfId="0" applyNumberFormat="1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0" xfId="0" applyFont="1" applyFill="1"/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2">
    <dxf>
      <fill>
        <patternFill patternType="solid">
          <fgColor theme="8"/>
          <bgColor theme="8"/>
        </patternFill>
      </fill>
    </dxf>
    <dxf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8"/>
  <sheetViews>
    <sheetView tabSelected="1" workbookViewId="0">
      <selection activeCell="H8" sqref="H8"/>
    </sheetView>
  </sheetViews>
  <sheetFormatPr baseColWidth="10" defaultColWidth="12.6640625" defaultRowHeight="15.75" customHeight="1" x14ac:dyDescent="0.15"/>
  <cols>
    <col min="1" max="1" width="28.1640625" customWidth="1"/>
    <col min="2" max="2" width="12.6640625" customWidth="1"/>
    <col min="3" max="3" width="4.83203125" customWidth="1"/>
    <col min="4" max="4" width="16.1640625" customWidth="1"/>
    <col min="5" max="5" width="13.1640625" customWidth="1"/>
    <col min="6" max="6" width="7.83203125" customWidth="1"/>
    <col min="7" max="7" width="48.6640625" customWidth="1"/>
  </cols>
  <sheetData>
    <row r="1" spans="1:7" x14ac:dyDescent="0.2">
      <c r="A1" s="1" t="s">
        <v>0</v>
      </c>
      <c r="B1" s="1"/>
    </row>
    <row r="2" spans="1:7" x14ac:dyDescent="0.2">
      <c r="A2" s="2" t="s">
        <v>1</v>
      </c>
      <c r="B2" s="3">
        <f>B13+E19</f>
        <v>484</v>
      </c>
    </row>
    <row r="3" spans="1:7" x14ac:dyDescent="0.2">
      <c r="A3" s="2" t="s">
        <v>2</v>
      </c>
      <c r="B3" s="4">
        <v>0</v>
      </c>
    </row>
    <row r="4" spans="1:7" x14ac:dyDescent="0.2">
      <c r="A4" s="2" t="s">
        <v>3</v>
      </c>
      <c r="B4" s="4">
        <v>0</v>
      </c>
    </row>
    <row r="5" spans="1:7" x14ac:dyDescent="0.2">
      <c r="A5" s="5" t="s">
        <v>4</v>
      </c>
      <c r="B5" s="6">
        <f>(B2-(B2*B3%))</f>
        <v>484</v>
      </c>
    </row>
    <row r="6" spans="1:7" x14ac:dyDescent="0.2">
      <c r="A6" s="5" t="s">
        <v>5</v>
      </c>
      <c r="B6" s="6">
        <f>B5+B4</f>
        <v>484</v>
      </c>
    </row>
    <row r="7" spans="1:7" x14ac:dyDescent="0.2">
      <c r="A7" s="7"/>
      <c r="B7" s="8"/>
      <c r="D7" s="9"/>
      <c r="E7" s="9"/>
      <c r="F7" s="9"/>
    </row>
    <row r="8" spans="1:7" x14ac:dyDescent="0.2">
      <c r="A8" s="7"/>
      <c r="B8" s="8"/>
      <c r="D8" s="9"/>
      <c r="E8" s="9"/>
      <c r="F8" s="9"/>
    </row>
    <row r="9" spans="1:7" x14ac:dyDescent="0.2">
      <c r="A9" s="10" t="s">
        <v>6</v>
      </c>
      <c r="B9" s="11"/>
      <c r="D9" s="20" t="s">
        <v>7</v>
      </c>
      <c r="E9" s="21"/>
      <c r="F9" s="9"/>
    </row>
    <row r="10" spans="1:7" x14ac:dyDescent="0.2">
      <c r="A10" s="12" t="s">
        <v>8</v>
      </c>
      <c r="B10" s="13" t="s">
        <v>9</v>
      </c>
      <c r="D10" s="12" t="s">
        <v>8</v>
      </c>
      <c r="E10" s="13" t="s">
        <v>9</v>
      </c>
      <c r="F10" s="9"/>
    </row>
    <row r="11" spans="1:7" x14ac:dyDescent="0.2">
      <c r="A11" s="14">
        <v>1</v>
      </c>
      <c r="B11" s="15">
        <v>25</v>
      </c>
      <c r="D11" s="14">
        <v>1</v>
      </c>
      <c r="E11" s="15">
        <v>22</v>
      </c>
      <c r="F11" s="9"/>
      <c r="G11" s="22" t="s">
        <v>12</v>
      </c>
    </row>
    <row r="12" spans="1:7" x14ac:dyDescent="0.2">
      <c r="A12" s="16" t="s">
        <v>10</v>
      </c>
      <c r="B12" s="17">
        <v>0</v>
      </c>
      <c r="D12" s="14">
        <v>28</v>
      </c>
      <c r="E12" s="15">
        <v>560</v>
      </c>
      <c r="F12" s="9"/>
      <c r="G12" s="22"/>
    </row>
    <row r="13" spans="1:7" x14ac:dyDescent="0.2">
      <c r="A13" s="5" t="s">
        <v>11</v>
      </c>
      <c r="B13" s="18">
        <f>(B11*B12)</f>
        <v>0</v>
      </c>
      <c r="D13" s="14">
        <v>50</v>
      </c>
      <c r="E13" s="15">
        <v>950</v>
      </c>
      <c r="F13" s="9"/>
      <c r="G13" s="22"/>
    </row>
    <row r="14" spans="1:7" x14ac:dyDescent="0.2">
      <c r="A14" s="8"/>
      <c r="B14" s="8"/>
      <c r="D14" s="14">
        <v>100</v>
      </c>
      <c r="E14" s="15">
        <v>1900</v>
      </c>
      <c r="F14" s="9"/>
      <c r="G14" s="22"/>
    </row>
    <row r="15" spans="1:7" x14ac:dyDescent="0.2">
      <c r="A15" s="8"/>
      <c r="B15" s="8"/>
      <c r="D15" s="14">
        <v>128</v>
      </c>
      <c r="E15" s="15">
        <f>E14+E12</f>
        <v>2460</v>
      </c>
      <c r="F15" s="9"/>
      <c r="G15" s="22"/>
    </row>
    <row r="16" spans="1:7" x14ac:dyDescent="0.2">
      <c r="D16" s="14">
        <v>150</v>
      </c>
      <c r="E16" s="15">
        <f>E14+E13</f>
        <v>2850</v>
      </c>
      <c r="F16" s="9"/>
      <c r="G16" s="22"/>
    </row>
    <row r="17" spans="1:7" x14ac:dyDescent="0.2">
      <c r="D17" s="14">
        <v>200</v>
      </c>
      <c r="E17" s="15">
        <f>E14*2</f>
        <v>3800</v>
      </c>
      <c r="F17" s="9"/>
      <c r="G17" s="22"/>
    </row>
    <row r="18" spans="1:7" x14ac:dyDescent="0.2">
      <c r="D18" s="16" t="s">
        <v>10</v>
      </c>
      <c r="E18" s="17">
        <v>22</v>
      </c>
      <c r="F18" s="9"/>
      <c r="G18" s="22"/>
    </row>
    <row r="19" spans="1:7" x14ac:dyDescent="0.2">
      <c r="D19" s="5" t="s">
        <v>11</v>
      </c>
      <c r="E19" s="19" cm="1">
        <f t="array" ref="E19">_xlfn.IFS(E18&lt;28,E18*E11,E18&lt;50,E12+((E18-28)*E11),E18&lt;100,E13+((E18-50)*E11),E18&lt;128,E14+((E18-100)*E11),E18&lt;150,E15+((E18-128)*E11),E18&lt;200,E16+((E18-150)*E11),E18&lt;228,E17+((E18-200)*E11))</f>
        <v>484</v>
      </c>
      <c r="F19" s="9"/>
    </row>
    <row r="20" spans="1:7" x14ac:dyDescent="0.2">
      <c r="D20" s="9"/>
      <c r="E20" s="9"/>
      <c r="F20" s="9"/>
    </row>
    <row r="21" spans="1:7" x14ac:dyDescent="0.2">
      <c r="D21" s="9"/>
      <c r="E21" s="9"/>
      <c r="F21" s="9"/>
    </row>
    <row r="22" spans="1:7" x14ac:dyDescent="0.2">
      <c r="D22" s="9"/>
      <c r="E22" s="9"/>
      <c r="F22" s="9"/>
    </row>
    <row r="23" spans="1:7" x14ac:dyDescent="0.2">
      <c r="D23" s="9"/>
      <c r="E23" s="9"/>
      <c r="F23" s="9"/>
    </row>
    <row r="27" spans="1:7" x14ac:dyDescent="0.2">
      <c r="A27" s="8"/>
      <c r="B27" s="8"/>
    </row>
    <row r="28" spans="1:7" x14ac:dyDescent="0.2">
      <c r="A28" s="8"/>
      <c r="B28" s="8"/>
    </row>
  </sheetData>
  <mergeCells count="2">
    <mergeCell ref="D9:E9"/>
    <mergeCell ref="G11:G18"/>
  </mergeCells>
  <conditionalFormatting sqref="B3:B4">
    <cfRule type="cellIs" dxfId="1" priority="2" operator="greaterThan">
      <formula>0</formula>
    </cfRule>
  </conditionalFormatting>
  <conditionalFormatting sqref="B12 E1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СТОИМОСТИ</vt:lpstr>
      <vt:lpstr>Контактные данные клиентов и 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Рыбальченко Артем Геннадиевич</cp:lastModifiedBy>
  <dcterms:modified xsi:type="dcterms:W3CDTF">2025-08-15T08:33:54Z</dcterms:modified>
</cp:coreProperties>
</file>